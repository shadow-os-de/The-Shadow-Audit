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_ENGINE" sheetId="1" r:id="rId5"/>
    <sheet state="visible" name="SHADOW_LOGIC" sheetId="2" r:id="rId6"/>
    <sheet state="visible" name="DASHBOARD" sheetId="3" r:id="rId7"/>
  </sheets>
  <definedNames/>
  <calcPr/>
</workbook>
</file>

<file path=xl/sharedStrings.xml><?xml version="1.0" encoding="utf-8"?>
<sst xmlns="http://schemas.openxmlformats.org/spreadsheetml/2006/main" count="11" uniqueCount="11">
  <si>
    <t>Datum</t>
  </si>
  <si>
    <t>USD/JPY Kurs</t>
  </si>
  <si>
    <t>VIX Index</t>
  </si>
  <si>
    <t>Inflation Legacy (%)</t>
  </si>
  <si>
    <t>Staatsbudget (Mrd.)</t>
  </si>
  <si>
    <t>Contract: Efficiency_Oracle</t>
  </si>
  <si>
    <t>Contract: Stability_Trigger</t>
  </si>
  <si>
    <t>Contract: Inflation_Adjuster</t>
  </si>
  <si>
    <t>Contract: Net_Dividend_Pool</t>
  </si>
  <si>
    <t>Contract: Dividend_per_Node</t>
  </si>
  <si>
    <t>System_Loss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</si>
</sst>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SHADOW_LOGIC!$E$1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WORLD_ENGINE!$A$2:$A$999</c:f>
            </c:strRef>
          </c:cat>
          <c:val>
            <c:numRef>
              <c:f>SHADOW_LOGIC!$E$2:$E$1000</c:f>
              <c:numCache/>
            </c:numRef>
          </c:val>
          <c:smooth val="0"/>
        </c:ser>
        <c:axId val="1426772811"/>
        <c:axId val="362955933"/>
      </c:lineChart>
      <c:catAx>
        <c:axId val="1426772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955933"/>
      </c:catAx>
      <c:valAx>
        <c:axId val="362955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772811"/>
      </c:valAx>
      <c:lineChart>
        <c:varyColors val="0"/>
        <c:ser>
          <c:idx val="1"/>
          <c:order val="1"/>
          <c:tx>
            <c:strRef>
              <c:f>WORLD_ENGINE!$D$1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WORLD_ENGINE!$A$2:$A$999</c:f>
            </c:strRef>
          </c:cat>
          <c:val>
            <c:numRef>
              <c:f>WORLD_ENGINE!$D$2:$D$999</c:f>
              <c:numCache/>
            </c:numRef>
          </c:val>
          <c:smooth val="0"/>
        </c:ser>
        <c:axId val="695088173"/>
        <c:axId val="298768250"/>
      </c:lineChart>
      <c:catAx>
        <c:axId val="69508817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768250"/>
      </c:catAx>
      <c:valAx>
        <c:axId val="29876825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508817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SHADOW_LOGIC!$B$1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WORLD_ENGINE!$A$2:$A$100</c:f>
            </c:strRef>
          </c:cat>
          <c:val>
            <c:numRef>
              <c:f>SHADOW_LOGIC!$B$2:$B$100</c:f>
              <c:numCache/>
            </c:numRef>
          </c:val>
        </c:ser>
        <c:axId val="2012059055"/>
        <c:axId val="2075971129"/>
      </c:barChart>
      <c:catAx>
        <c:axId val="2012059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971129"/>
      </c:catAx>
      <c:valAx>
        <c:axId val="2075971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059055"/>
      </c:valAx>
      <c:lineChart>
        <c:varyColors val="0"/>
        <c:ser>
          <c:idx val="1"/>
          <c:order val="1"/>
          <c:tx>
            <c:strRef>
              <c:f>WORLD_ENGINE!$B$1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WORLD_ENGINE!$A$2:$A$100</c:f>
            </c:strRef>
          </c:cat>
          <c:val>
            <c:numRef>
              <c:f>WORLD_ENGINE!$B$2:$B$100</c:f>
              <c:numCache/>
            </c:numRef>
          </c:val>
          <c:smooth val="0"/>
        </c:ser>
        <c:axId val="630145727"/>
        <c:axId val="333347911"/>
      </c:lineChart>
      <c:catAx>
        <c:axId val="6301457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347911"/>
      </c:catAx>
      <c:valAx>
        <c:axId val="33334791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01457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strRef>
              <c:f>SHADOW_LOGIC!$E$1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WORLD_ENGINE!$A$2:$A$100</c:f>
            </c:strRef>
          </c:cat>
          <c:val>
            <c:numRef>
              <c:f>SHADOW_LOGIC!$E$2:$E$100</c:f>
              <c:numCache/>
            </c:numRef>
          </c:val>
        </c:ser>
        <c:ser>
          <c:idx val="1"/>
          <c:order val="1"/>
          <c:tx>
            <c:strRef>
              <c:f>SHADOW_LOGIC!$F$1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WORLD_ENGINE!$A$2:$A$100</c:f>
            </c:strRef>
          </c:cat>
          <c:val>
            <c:numRef>
              <c:f>SHADOW_LOGIC!$F$2:$F$100</c:f>
              <c:numCache/>
            </c:numRef>
          </c:val>
        </c:ser>
        <c:overlap val="100"/>
        <c:axId val="2086788781"/>
        <c:axId val="11887169"/>
      </c:barChart>
      <c:catAx>
        <c:axId val="2086788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7169"/>
      </c:catAx>
      <c:valAx>
        <c:axId val="11887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788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104775</xdr:rowOff>
    </xdr:from>
    <xdr:ext cx="4038600" cy="253365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685800</xdr:colOff>
      <xdr:row>0</xdr:row>
      <xdr:rowOff>104775</xdr:rowOff>
    </xdr:from>
    <xdr:ext cx="4038600" cy="25336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142875</xdr:colOff>
      <xdr:row>0</xdr:row>
      <xdr:rowOff>104775</xdr:rowOff>
    </xdr:from>
    <xdr:ext cx="4038600" cy="2533650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46082.0</v>
      </c>
      <c r="B2" s="1">
        <v>148.0</v>
      </c>
      <c r="C2" s="1">
        <v>32.0</v>
      </c>
      <c r="D2" s="1">
        <v>0.05</v>
      </c>
      <c r="E2" s="1">
        <v>450.0</v>
      </c>
    </row>
    <row r="3">
      <c r="A3" s="3">
        <v>46113.0</v>
      </c>
      <c r="B3" s="4">
        <v>152.5</v>
      </c>
      <c r="C3" s="4">
        <v>18.5</v>
      </c>
      <c r="D3" s="4">
        <v>0.041</v>
      </c>
      <c r="E3" s="4">
        <v>450.0</v>
      </c>
    </row>
    <row r="4">
      <c r="A4" s="3">
        <v>46143.0</v>
      </c>
      <c r="B4" s="4">
        <v>151.8</v>
      </c>
      <c r="C4" s="4">
        <v>19.2</v>
      </c>
      <c r="D4" s="4">
        <v>0.043</v>
      </c>
      <c r="E4" s="4">
        <v>450.0</v>
      </c>
    </row>
    <row r="5">
      <c r="A5" s="3">
        <v>46174.0</v>
      </c>
      <c r="B5" s="4">
        <v>149.5</v>
      </c>
      <c r="C5" s="4">
        <v>24.5</v>
      </c>
      <c r="D5" s="4">
        <v>0.048</v>
      </c>
      <c r="E5" s="4">
        <v>455.0</v>
      </c>
    </row>
    <row r="6">
      <c r="A6" s="3">
        <v>46204.0</v>
      </c>
      <c r="B6" s="4">
        <v>146.2</v>
      </c>
      <c r="C6" s="4">
        <v>31.0</v>
      </c>
      <c r="D6" s="4">
        <v>0.055</v>
      </c>
      <c r="E6" s="4">
        <v>460.0</v>
      </c>
    </row>
    <row r="7">
      <c r="A7" s="3">
        <v>46235.0</v>
      </c>
      <c r="B7" s="4">
        <v>142.8</v>
      </c>
      <c r="C7" s="4">
        <v>38.5</v>
      </c>
      <c r="D7" s="4">
        <v>0.062</v>
      </c>
      <c r="E7" s="4">
        <v>470.0</v>
      </c>
    </row>
    <row r="8">
      <c r="A8" s="3">
        <v>46266.0</v>
      </c>
      <c r="B8" s="4">
        <v>140.1</v>
      </c>
      <c r="C8" s="4">
        <v>42.0</v>
      </c>
      <c r="D8" s="4">
        <v>0.075</v>
      </c>
      <c r="E8" s="4">
        <v>480.0</v>
      </c>
    </row>
    <row r="9">
      <c r="A9" s="3">
        <v>46296.0</v>
      </c>
      <c r="B9" s="4">
        <v>144.5</v>
      </c>
      <c r="C9" s="4">
        <v>35.0</v>
      </c>
      <c r="D9" s="4">
        <v>0.068</v>
      </c>
      <c r="E9" s="4">
        <v>475.0</v>
      </c>
    </row>
    <row r="10">
      <c r="A10" s="3">
        <v>46327.0</v>
      </c>
      <c r="B10" s="4">
        <v>147.0</v>
      </c>
      <c r="C10" s="4">
        <v>28.0</v>
      </c>
      <c r="D10" s="4">
        <v>0.06</v>
      </c>
      <c r="E10" s="4">
        <v>465.0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0.25"/>
    <col customWidth="1" min="3" max="3" width="21.13"/>
    <col customWidth="1" min="4" max="4" width="22.5"/>
    <col customWidth="1" min="5" max="5" width="23.0"/>
    <col customWidth="1" min="6" max="6" width="11.0"/>
  </cols>
  <sheetData>
    <row r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>
      <c r="A2" s="5">
        <f>WORLD_ENGINE!E2 * 0.4</f>
        <v>180</v>
      </c>
      <c r="B2" s="5">
        <f>IF(WORLD_ENGINE!B2&lt;150, 0.25, 0.05)</f>
        <v>0.25</v>
      </c>
      <c r="C2" s="5">
        <f>A2 * (1 - WORLD_ENGINE!D2)</f>
        <v>171</v>
      </c>
      <c r="D2" s="5">
        <f t="shared" ref="D2:D10" si="1">C2 * (1 - B2)</f>
        <v>128.25</v>
      </c>
      <c r="E2" s="5">
        <f t="shared" ref="E2:E10" si="2">D2 * 0.8</f>
        <v>102.6</v>
      </c>
      <c r="F2" s="5">
        <f t="shared" ref="F2:F10" si="3">D2-E2</f>
        <v>25.65</v>
      </c>
    </row>
    <row r="3">
      <c r="A3" s="5">
        <f>WORLD_ENGINE!E3 * 0.4</f>
        <v>180</v>
      </c>
      <c r="B3" s="5">
        <f>IF(WORLD_ENGINE!B3&lt;150, 0.25, 0.05)</f>
        <v>0.05</v>
      </c>
      <c r="C3" s="5">
        <f>A3 * (1 - WORLD_ENGINE!D3)</f>
        <v>172.62</v>
      </c>
      <c r="D3" s="5">
        <f t="shared" si="1"/>
        <v>163.989</v>
      </c>
      <c r="E3" s="5">
        <f t="shared" si="2"/>
        <v>131.1912</v>
      </c>
      <c r="F3" s="5">
        <f t="shared" si="3"/>
        <v>32.7978</v>
      </c>
    </row>
    <row r="4">
      <c r="A4" s="5">
        <f>WORLD_ENGINE!E4 * 0.4</f>
        <v>180</v>
      </c>
      <c r="B4" s="5">
        <f>IF(WORLD_ENGINE!B4&lt;150, 0.25, 0.05)</f>
        <v>0.05</v>
      </c>
      <c r="C4" s="5">
        <f>A4 * (1 - WORLD_ENGINE!D4)</f>
        <v>172.26</v>
      </c>
      <c r="D4" s="5">
        <f t="shared" si="1"/>
        <v>163.647</v>
      </c>
      <c r="E4" s="5">
        <f t="shared" si="2"/>
        <v>130.9176</v>
      </c>
      <c r="F4" s="5">
        <f t="shared" si="3"/>
        <v>32.7294</v>
      </c>
    </row>
    <row r="5">
      <c r="A5" s="5">
        <f>WORLD_ENGINE!E5 * 0.4</f>
        <v>182</v>
      </c>
      <c r="B5" s="5">
        <f>IF(WORLD_ENGINE!B5&lt;150, 0.25, 0.05)</f>
        <v>0.25</v>
      </c>
      <c r="C5" s="5">
        <f>A5 * (1 - WORLD_ENGINE!D5)</f>
        <v>173.264</v>
      </c>
      <c r="D5" s="5">
        <f t="shared" si="1"/>
        <v>129.948</v>
      </c>
      <c r="E5" s="5">
        <f t="shared" si="2"/>
        <v>103.9584</v>
      </c>
      <c r="F5" s="5">
        <f t="shared" si="3"/>
        <v>25.9896</v>
      </c>
    </row>
    <row r="6">
      <c r="A6" s="5">
        <f>WORLD_ENGINE!E6 * 0.4</f>
        <v>184</v>
      </c>
      <c r="B6" s="5">
        <f>IF(WORLD_ENGINE!B6&lt;150, 0.25, 0.05)</f>
        <v>0.25</v>
      </c>
      <c r="C6" s="5">
        <f>A6 * (1 - WORLD_ENGINE!D6)</f>
        <v>173.88</v>
      </c>
      <c r="D6" s="5">
        <f t="shared" si="1"/>
        <v>130.41</v>
      </c>
      <c r="E6" s="5">
        <f t="shared" si="2"/>
        <v>104.328</v>
      </c>
      <c r="F6" s="5">
        <f t="shared" si="3"/>
        <v>26.082</v>
      </c>
    </row>
    <row r="7">
      <c r="A7" s="5">
        <f>WORLD_ENGINE!E7 * 0.4</f>
        <v>188</v>
      </c>
      <c r="B7" s="5">
        <f>IF(WORLD_ENGINE!B7&lt;150, 0.25, 0.05)</f>
        <v>0.25</v>
      </c>
      <c r="C7" s="5">
        <f>A7 * (1 - WORLD_ENGINE!D7)</f>
        <v>176.344</v>
      </c>
      <c r="D7" s="5">
        <f t="shared" si="1"/>
        <v>132.258</v>
      </c>
      <c r="E7" s="5">
        <f t="shared" si="2"/>
        <v>105.8064</v>
      </c>
      <c r="F7" s="5">
        <f t="shared" si="3"/>
        <v>26.4516</v>
      </c>
    </row>
    <row r="8">
      <c r="A8" s="5">
        <f>WORLD_ENGINE!E8 * 0.4</f>
        <v>192</v>
      </c>
      <c r="B8" s="5">
        <f>IF(WORLD_ENGINE!B8&lt;150, 0.25, 0.05)</f>
        <v>0.25</v>
      </c>
      <c r="C8" s="5">
        <f>A8 * (1 - WORLD_ENGINE!D8)</f>
        <v>177.6</v>
      </c>
      <c r="D8" s="5">
        <f t="shared" si="1"/>
        <v>133.2</v>
      </c>
      <c r="E8" s="5">
        <f t="shared" si="2"/>
        <v>106.56</v>
      </c>
      <c r="F8" s="5">
        <f t="shared" si="3"/>
        <v>26.64</v>
      </c>
    </row>
    <row r="9">
      <c r="A9" s="5">
        <f>WORLD_ENGINE!E9 * 0.4</f>
        <v>190</v>
      </c>
      <c r="B9" s="5">
        <f>IF(WORLD_ENGINE!B9&lt;150, 0.25, 0.05)</f>
        <v>0.25</v>
      </c>
      <c r="C9" s="5">
        <f>A9 * (1 - WORLD_ENGINE!D9)</f>
        <v>177.08</v>
      </c>
      <c r="D9" s="5">
        <f t="shared" si="1"/>
        <v>132.81</v>
      </c>
      <c r="E9" s="5">
        <f t="shared" si="2"/>
        <v>106.248</v>
      </c>
      <c r="F9" s="5">
        <f t="shared" si="3"/>
        <v>26.562</v>
      </c>
    </row>
    <row r="10">
      <c r="A10" s="5">
        <f>WORLD_ENGINE!E10 * 0.4</f>
        <v>186</v>
      </c>
      <c r="B10" s="5">
        <f>IF(WORLD_ENGINE!B10&lt;150, 0.25, 0.05)</f>
        <v>0.25</v>
      </c>
      <c r="C10" s="5">
        <f>A10 * (1 - WORLD_ENGINE!D10)</f>
        <v>174.84</v>
      </c>
      <c r="D10" s="5">
        <f t="shared" si="1"/>
        <v>131.13</v>
      </c>
      <c r="E10" s="5">
        <f t="shared" si="2"/>
        <v>104.904</v>
      </c>
      <c r="F10" s="5">
        <f t="shared" si="3"/>
        <v>26.226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